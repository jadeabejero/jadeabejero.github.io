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ric\Downloads\JOB HUNT XYRUS\portfolios\main-v3\assets\files\"/>
    </mc:Choice>
  </mc:AlternateContent>
  <xr:revisionPtr revIDLastSave="0" documentId="13_ncr:1_{A42CEC6C-1153-4B2F-9551-D9C5713C0A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orecard" sheetId="1" r:id="rId1"/>
    <sheet name="Rubric" sheetId="2" r:id="rId2"/>
  </sheets>
  <definedNames>
    <definedName name="_xlnm.Print_Area" localSheetId="0">Scorecard!$A$1:$K$28</definedName>
  </definedNames>
  <calcPr calcId="181029"/>
</workbook>
</file>

<file path=xl/calcChain.xml><?xml version="1.0" encoding="utf-8"?>
<calcChain xmlns="http://schemas.openxmlformats.org/spreadsheetml/2006/main">
  <c r="C9" i="2" l="1"/>
  <c r="J8" i="1"/>
  <c r="J10" i="1" s="1"/>
  <c r="I8" i="1"/>
  <c r="I10" i="1" s="1"/>
  <c r="H8" i="1"/>
  <c r="H10" i="1" s="1"/>
  <c r="G8" i="1"/>
  <c r="G10" i="1" s="1"/>
  <c r="F8" i="1"/>
  <c r="F10" i="1" s="1"/>
  <c r="E8" i="1"/>
  <c r="E10" i="1" s="1"/>
  <c r="D8" i="1"/>
  <c r="D10" i="1" s="1"/>
  <c r="K7" i="1"/>
  <c r="K6" i="1"/>
  <c r="K5" i="1"/>
  <c r="K8" i="1" s="1"/>
</calcChain>
</file>

<file path=xl/sharedStrings.xml><?xml version="1.0" encoding="utf-8"?>
<sst xmlns="http://schemas.openxmlformats.org/spreadsheetml/2006/main" count="50" uniqueCount="43">
  <si>
    <t>Call QA Scorecard · Week 1 pilot</t>
  </si>
  <si>
    <t>SAMPLE WORK by Jade Xyrus Abejero · made-up customers · AI first-pass scores, every score checked by hand</t>
  </si>
  <si>
    <t>Call</t>
  </si>
  <si>
    <t>Agent</t>
  </si>
  <si>
    <t>Topic</t>
  </si>
  <si>
    <t>Opening (10)</t>
  </si>
  <si>
    <t>Acknowledge (15)</t>
  </si>
  <si>
    <t>Ownership (15)</t>
  </si>
  <si>
    <t>Troubleshooting (20)</t>
  </si>
  <si>
    <t>Retention (15)</t>
  </si>
  <si>
    <t>Accuracy (15)</t>
  </si>
  <si>
    <t>Close (10)</t>
  </si>
  <si>
    <t>Total /100</t>
  </si>
  <si>
    <t>#A-112</t>
  </si>
  <si>
    <t>Agent 1</t>
  </si>
  <si>
    <t>Slow internet, 3rd call this week</t>
  </si>
  <si>
    <t>#A-118</t>
  </si>
  <si>
    <t>Agent 2</t>
  </si>
  <si>
    <t>Double charge, wants to cancel</t>
  </si>
  <si>
    <t>#A-121</t>
  </si>
  <si>
    <t>Agent 3</t>
  </si>
  <si>
    <t>Router setup, elderly customer</t>
  </si>
  <si>
    <t>Team average</t>
  </si>
  <si>
    <t>Opening</t>
  </si>
  <si>
    <t>Acknowledge</t>
  </si>
  <si>
    <t>Ownership</t>
  </si>
  <si>
    <t>Troubleshooting</t>
  </si>
  <si>
    <t>Retention</t>
  </si>
  <si>
    <t>Accuracy</t>
  </si>
  <si>
    <t>Close</t>
  </si>
  <si>
    <t>Team score as % of max</t>
  </si>
  <si>
    <t>Finding: Retention scores lowest. Agents offer the save deal before the problem is fixed. Coach: fix first, then offer.</t>
  </si>
  <si>
    <t>Area</t>
  </si>
  <si>
    <t>What a great call does</t>
  </si>
  <si>
    <t>Points</t>
  </si>
  <si>
    <t>Greets, gives name, verifies the account before discussing details</t>
  </si>
  <si>
    <t>Repeats the customer's actual problem back in their words, before any script line</t>
  </si>
  <si>
    <t>Says "I will", not "they will"; no transferring blame</t>
  </si>
  <si>
    <t>Checks the obvious causes in order; explains each step in plain words</t>
  </si>
  <si>
    <t>When cancel is mentioned: fixes first, offers a fair option, never argues</t>
  </si>
  <si>
    <t>Correct policy and credit amount, no promises the company can't keep</t>
  </si>
  <si>
    <t>Clear next step with a time, confirms satisfaction, notes the account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</si>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</sst>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3233F"/>
      <name val="Arial"/>
    </font>
    <font>
      <i/>
      <sz val="9"/>
      <color rgb="FF8A4B0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3233F"/>
      <name val="Arial"/>
    </font>
    <font>
      <b/>
      <sz val="10"/>
      <name val="Arial"/>
    </font>
    <font>
      <sz val="9"/>
      <color rgb="FF586172"/>
      <name val="Arial"/>
    </font>
    <font>
      <b/>
      <sz val="10"/>
      <color rgb="FF13233F"/>
      <name val="Arial"/>
    </font>
    <font>
      <sz val="10"/>
      <color rgb="FF273142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3233F"/>
      </patternFill>
    </fill>
  </fills>
  <borders count="2">
    <border>
      <left/>
      <right/>
      <top/>
      <bottom/>
      <diagonal/>
    </border>
    <border>
      <left style="thin">
        <color rgb="FFE2DED4"/>
      </left>
      <right style="thin">
        <color rgb="FFE2DED4"/>
      </right>
      <top style="thin">
        <color rgb="FFE2DED4"/>
      </top>
      <bottom style="thin">
        <color rgb="FFE2DE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9" fontId="4" fillId="0" borderId="0" xfId="0" applyNumberFormat="1" applyFont="1" applyAlignment="1">
      <alignment horizontal="center"/>
    </xf>
    <xf numFmtId="0" fontId="8" fillId="0" borderId="0" xfId="0" applyFont="1"/>
    <xf numFmtId="0" fontId="3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2">
    <dxf>
      <font>
        <b/>
        <color rgb="FF8A4B0F"/>
        <name val="Arial"/>
      </font>
      <fill>
        <patternFill patternType="solid">
          <fgColor rgb="FFF7EBDD"/>
        </patternFill>
      </fill>
    </dxf>
    <dxf>
      <font>
        <b/>
        <color rgb="FF8A4B0F"/>
        <name val="Arial"/>
      </font>
      <fill>
        <patternFill patternType="solid">
          <fgColor rgb="FFF7EB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PH"/>
              <a:t>Where the team loses points (% of max, team average)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3233F"/>
            </a:solidFill>
            <a:ln>
              <a:prstDash val="solid"/>
            </a:ln>
          </c:spPr>
          <c:invertIfNegative val="1"/>
          <c:cat>
            <c:strRef>
              <c:f>Scorecard!$D$9:$J$9</c:f>
              <c:strCache>
                <c:ptCount val="7"/>
                <c:pt idx="0">
                  <c:v>Opening</c:v>
                </c:pt>
                <c:pt idx="1">
                  <c:v>Acknowledge</c:v>
                </c:pt>
                <c:pt idx="2">
                  <c:v>Ownership</c:v>
                </c:pt>
                <c:pt idx="3">
                  <c:v>Troubleshooting</c:v>
                </c:pt>
                <c:pt idx="4">
                  <c:v>Retention</c:v>
                </c:pt>
                <c:pt idx="5">
                  <c:v>Accuracy</c:v>
                </c:pt>
                <c:pt idx="6">
                  <c:v>Close</c:v>
                </c:pt>
              </c:strCache>
            </c:strRef>
          </c:cat>
          <c:val>
            <c:numRef>
              <c:f>Scorecard!$D$10:$J$10</c:f>
              <c:numCache>
                <c:formatCode>0%</c:formatCode>
                <c:ptCount val="7"/>
                <c:pt idx="0">
                  <c:v>0.73</c:v>
                </c:pt>
                <c:pt idx="1">
                  <c:v>0.71333333333333326</c:v>
                </c:pt>
                <c:pt idx="2">
                  <c:v>0.84666666666666657</c:v>
                </c:pt>
                <c:pt idx="3">
                  <c:v>0.86499999999999999</c:v>
                </c:pt>
                <c:pt idx="4">
                  <c:v>0.66666666666666663</c:v>
                </c:pt>
                <c:pt idx="5">
                  <c:v>0.88666666666666671</c:v>
                </c:pt>
                <c:pt idx="6">
                  <c:v>0.77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FB-436D-82AD-6A544A5D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9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showGridLines="0" tabSelected="1" workbookViewId="0"/>
  </sheetViews>
  <sheetFormatPr defaultRowHeight="15" x14ac:dyDescent="0.25"/>
  <cols>
    <col min="1" max="2" width="9" customWidth="1"/>
    <col min="3" max="3" width="30" customWidth="1"/>
    <col min="4" max="10" width="14.42578125" customWidth="1"/>
    <col min="11" max="11" width="11" customWidth="1"/>
  </cols>
  <sheetData>
    <row r="1" spans="1:11" ht="20.25" x14ac:dyDescent="0.3">
      <c r="A1" s="1" t="s">
        <v>0</v>
      </c>
    </row>
    <row r="2" spans="1:11" x14ac:dyDescent="0.25">
      <c r="A2" s="2" t="s">
        <v>1</v>
      </c>
    </row>
    <row r="4" spans="1:11" ht="33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10</v>
      </c>
      <c r="E5" s="5">
        <v>15</v>
      </c>
      <c r="F5" s="5">
        <v>15</v>
      </c>
      <c r="G5" s="5">
        <v>17</v>
      </c>
      <c r="H5" s="5">
        <v>11</v>
      </c>
      <c r="I5" s="5">
        <v>15</v>
      </c>
      <c r="J5" s="5">
        <v>8</v>
      </c>
      <c r="K5" s="6">
        <f>SUM(D5:J5)</f>
        <v>91</v>
      </c>
    </row>
    <row r="6" spans="1:11" x14ac:dyDescent="0.25">
      <c r="A6" s="4" t="s">
        <v>16</v>
      </c>
      <c r="B6" s="4" t="s">
        <v>17</v>
      </c>
      <c r="C6" s="4" t="s">
        <v>18</v>
      </c>
      <c r="D6" s="5">
        <v>10</v>
      </c>
      <c r="E6" s="5">
        <v>3</v>
      </c>
      <c r="F6" s="5">
        <v>10</v>
      </c>
      <c r="G6" s="5">
        <v>16</v>
      </c>
      <c r="H6" s="5">
        <v>4</v>
      </c>
      <c r="I6" s="5">
        <v>15</v>
      </c>
      <c r="J6" s="5">
        <v>6</v>
      </c>
      <c r="K6" s="6">
        <f>SUM(D6:J6)</f>
        <v>64</v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</v>
      </c>
      <c r="E7" s="5">
        <v>14</v>
      </c>
      <c r="F7" s="5">
        <v>13</v>
      </c>
      <c r="G7" s="5">
        <v>19</v>
      </c>
      <c r="H7" s="5">
        <v>15</v>
      </c>
      <c r="I7" s="5">
        <v>10</v>
      </c>
      <c r="J7" s="5">
        <v>9</v>
      </c>
      <c r="K7" s="6">
        <f>SUM(D7:J7)</f>
        <v>82</v>
      </c>
    </row>
    <row r="8" spans="1:11" x14ac:dyDescent="0.25">
      <c r="C8" s="7" t="s">
        <v>22</v>
      </c>
      <c r="D8" s="8">
        <f t="shared" ref="D8:K8" si="0">ROUND(AVERAGE(D5:D7),1)</f>
        <v>7.3</v>
      </c>
      <c r="E8" s="8">
        <f t="shared" si="0"/>
        <v>10.7</v>
      </c>
      <c r="F8" s="8">
        <f t="shared" si="0"/>
        <v>12.7</v>
      </c>
      <c r="G8" s="8">
        <f t="shared" si="0"/>
        <v>17.3</v>
      </c>
      <c r="H8" s="8">
        <f t="shared" si="0"/>
        <v>10</v>
      </c>
      <c r="I8" s="8">
        <f t="shared" si="0"/>
        <v>13.3</v>
      </c>
      <c r="J8" s="8">
        <f t="shared" si="0"/>
        <v>7.7</v>
      </c>
      <c r="K8" s="8">
        <f t="shared" si="0"/>
        <v>79</v>
      </c>
    </row>
    <row r="9" spans="1:11" x14ac:dyDescent="0.25">
      <c r="D9" s="9" t="s">
        <v>23</v>
      </c>
      <c r="E9" s="9" t="s">
        <v>24</v>
      </c>
      <c r="F9" s="9" t="s">
        <v>25</v>
      </c>
      <c r="G9" s="9" t="s">
        <v>26</v>
      </c>
      <c r="H9" s="9" t="s">
        <v>27</v>
      </c>
      <c r="I9" s="9" t="s">
        <v>28</v>
      </c>
      <c r="J9" s="9" t="s">
        <v>29</v>
      </c>
    </row>
    <row r="10" spans="1:11" x14ac:dyDescent="0.25">
      <c r="C10" s="7" t="s">
        <v>30</v>
      </c>
      <c r="D10" s="10">
        <f>D8/10</f>
        <v>0.73</v>
      </c>
      <c r="E10" s="10">
        <f>E8/15</f>
        <v>0.71333333333333326</v>
      </c>
      <c r="F10" s="10">
        <f>F8/15</f>
        <v>0.84666666666666657</v>
      </c>
      <c r="G10" s="10">
        <f>G8/20</f>
        <v>0.86499999999999999</v>
      </c>
      <c r="H10" s="10">
        <f>H8/15</f>
        <v>0.66666666666666663</v>
      </c>
      <c r="I10" s="10">
        <f>I8/15</f>
        <v>0.88666666666666671</v>
      </c>
      <c r="J10" s="10">
        <f>J8/10</f>
        <v>0.77</v>
      </c>
    </row>
    <row r="28" spans="1:1" x14ac:dyDescent="0.25">
      <c r="A28" s="11" t="s">
        <v>31</v>
      </c>
    </row>
  </sheetData>
  <conditionalFormatting sqref="D10:J10">
    <cfRule type="cellIs" dxfId="1" priority="1" operator="lessThan">
      <formula>0.7</formula>
    </cfRule>
  </conditionalFormatting>
  <conditionalFormatting sqref="K5:K7">
    <cfRule type="cellIs" dxfId="0" priority="2" operator="lessThan">
      <formula>70</formula>
    </cfRule>
  </conditionalFormatting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/>
  </sheetViews>
  <sheetFormatPr defaultRowHeight="15" x14ac:dyDescent="0.25"/>
  <cols>
    <col min="1" max="1" width="16" customWidth="1"/>
    <col min="2" max="2" width="70" customWidth="1"/>
    <col min="3" max="3" width="8" customWidth="1"/>
  </cols>
  <sheetData>
    <row r="1" spans="1:3" x14ac:dyDescent="0.25">
      <c r="A1" s="12" t="s">
        <v>32</v>
      </c>
      <c r="B1" s="12" t="s">
        <v>33</v>
      </c>
      <c r="C1" s="12" t="s">
        <v>34</v>
      </c>
    </row>
    <row r="2" spans="1:3" x14ac:dyDescent="0.25">
      <c r="A2" s="13" t="s">
        <v>23</v>
      </c>
      <c r="B2" s="13" t="s">
        <v>35</v>
      </c>
      <c r="C2" s="13">
        <v>10</v>
      </c>
    </row>
    <row r="3" spans="1:3" x14ac:dyDescent="0.25">
      <c r="A3" s="13" t="s">
        <v>24</v>
      </c>
      <c r="B3" s="13" t="s">
        <v>36</v>
      </c>
      <c r="C3" s="13">
        <v>15</v>
      </c>
    </row>
    <row r="4" spans="1:3" x14ac:dyDescent="0.25">
      <c r="A4" s="13" t="s">
        <v>25</v>
      </c>
      <c r="B4" s="13" t="s">
        <v>37</v>
      </c>
      <c r="C4" s="13">
        <v>15</v>
      </c>
    </row>
    <row r="5" spans="1:3" x14ac:dyDescent="0.25">
      <c r="A5" s="13" t="s">
        <v>26</v>
      </c>
      <c r="B5" s="13" t="s">
        <v>38</v>
      </c>
      <c r="C5" s="13">
        <v>20</v>
      </c>
    </row>
    <row r="6" spans="1:3" x14ac:dyDescent="0.25">
      <c r="A6" s="13" t="s">
        <v>27</v>
      </c>
      <c r="B6" s="13" t="s">
        <v>39</v>
      </c>
      <c r="C6" s="13">
        <v>15</v>
      </c>
    </row>
    <row r="7" spans="1:3" x14ac:dyDescent="0.25">
      <c r="A7" s="13" t="s">
        <v>28</v>
      </c>
      <c r="B7" s="13" t="s">
        <v>40</v>
      </c>
      <c r="C7" s="13">
        <v>15</v>
      </c>
    </row>
    <row r="8" spans="1:3" x14ac:dyDescent="0.25">
      <c r="A8" s="13" t="s">
        <v>29</v>
      </c>
      <c r="B8" s="13" t="s">
        <v>41</v>
      </c>
      <c r="C8" s="13">
        <v>10</v>
      </c>
    </row>
    <row r="9" spans="1:3" x14ac:dyDescent="0.25">
      <c r="B9" s="14" t="s">
        <v>42</v>
      </c>
      <c r="C9" s="14">
        <f>SUM(C2:C8)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Scorecard</vt:lpstr>
      <vt:lpstr>Rubric</vt:lpstr>
      <vt:lpstr>Scorecard!Print_Area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Jade Xyrus Abejero</cp:lastModifiedBy>
  <dcterms:created xsi:type="dcterms:W3CDTF">2026-10-31T13:47:40Z</dcterms:created>
  <dcterms:modified xsi:type="dcterms:W3CDTF">2026-10-31T13:47:46Z</dcterms:modified>
</cp:coreProperties>
</file>